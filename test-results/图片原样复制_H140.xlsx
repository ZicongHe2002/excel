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</Types>
</file>

<file path=_rels/.rels><Relationships xmlns="http://schemas.openxmlformats.org/package/2006/relationships"><Relationship Id="r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KOKO选款--8.5信息表(1)" sheetId="1" r:id="rSheet1"/>
    <sheet name="Cole Haan-9.4选款" sheetId="2" r:id="rSheet2"/>
  </sheets>
</workbook>
</file>

<file path=xl/cellimages.xml><?xml version="1.0" encoding="utf-8"?>
<etc:cellImages xmlns:etc="http://www.wps.cn/officeDocument/2017/etCustomData" xmlns:xdr="http://schemas.openxmlformats.org/drawingml/2006/spreadsheetDrawing" xmlns:a="http://schemas.openxmlformats.org/drawingml/2006/main" xmlns:r="http://schemas.openxmlformats.org/officeDocument/2006/relationships"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1" name="ID_790A31AAABC34976B0995BD9492F32C7" descr="core_image_url__exec_download_1869150796"/>
        <xdr:cNvPicPr/>
      </xdr:nvPicPr>
      <xdr:blipFill>
        <a:blip r:embed="rCellImage1"/>
        <a:stretch>
          <a:fillRect/>
        </a:stretch>
      </xdr:blipFill>
      <xdr:spPr>
        <a:xfrm>
          <a:off x="0" y="0"/>
          <a:ext cx="7667625" cy="9801225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2" name="ID_5323927CF87249CAACC93A10EAB9F636" descr="core_image_url__exec_download_3662650214"/>
        <xdr:cNvPicPr/>
      </xdr:nvPicPr>
      <xdr:blipFill>
        <a:blip r:embed="rCellImage2"/>
        <a:stretch>
          <a:fillRect/>
        </a:stretch>
      </xdr:blipFill>
      <xdr:spPr>
        <a:xfrm>
          <a:off x="0" y="0"/>
          <a:ext cx="5419725" cy="61341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3" name="ID_605D9A1E20C84C46A3DE20A52FAF8348" descr="core_image_url__exec_download_1150610759"/>
        <xdr:cNvPicPr/>
      </xdr:nvPicPr>
      <xdr:blipFill>
        <a:blip r:embed="rCellImage3"/>
        <a:stretch>
          <a:fillRect/>
        </a:stretch>
      </xdr:blipFill>
      <xdr:spPr>
        <a:xfrm>
          <a:off x="0" y="0"/>
          <a:ext cx="7634605" cy="100584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4" name="ID_9576FDB00BB944DCA199C10E1C6844BD" descr="core_image_url__exec_download_2717056443"/>
        <xdr:cNvPicPr/>
      </xdr:nvPicPr>
      <xdr:blipFill>
        <a:blip r:embed="rCellImage4"/>
        <a:stretch>
          <a:fillRect/>
        </a:stretch>
      </xdr:blipFill>
      <xdr:spPr>
        <a:xfrm>
          <a:off x="0" y="0"/>
          <a:ext cx="7716520" cy="100584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5" name="ID_EBF1CBDF23C3418A9C567C5EF7140105" descr="core_image_url__exec_download_2632511535"/>
        <xdr:cNvPicPr/>
      </xdr:nvPicPr>
      <xdr:blipFill>
        <a:blip r:embed="rCellImage5"/>
        <a:stretch>
          <a:fillRect/>
        </a:stretch>
      </xdr:blipFill>
      <xdr:spPr>
        <a:xfrm>
          <a:off x="0" y="0"/>
          <a:ext cx="7839075" cy="1000125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6" name="ID_DED9A3022AA44BE692727AA015C5FEF5" descr="core_image_url__exec_download_4124982649"/>
        <xdr:cNvPicPr/>
      </xdr:nvPicPr>
      <xdr:blipFill>
        <a:blip r:embed="rCellImage6"/>
        <a:stretch>
          <a:fillRect/>
        </a:stretch>
      </xdr:blipFill>
      <xdr:spPr>
        <a:xfrm>
          <a:off x="0" y="0"/>
          <a:ext cx="7629525" cy="9858375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7" name="ID_683EE720A4E3451E841AE5FB89359E12" descr="core_image_url__exec_download_373243846"/>
        <xdr:cNvPicPr/>
      </xdr:nvPicPr>
      <xdr:blipFill>
        <a:blip r:embed="rCellImage7"/>
        <a:stretch>
          <a:fillRect/>
        </a:stretch>
      </xdr:blipFill>
      <xdr:spPr>
        <a:xfrm>
          <a:off x="0" y="0"/>
          <a:ext cx="7762875" cy="97155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8" name="ID_00000000000000000000000000000001" descr="core_image_url__exec_download_1150610759"/>
        <xdr:cNvPicPr/>
      </xdr:nvPicPr>
      <xdr:blipFill>
        <a:blip r:embed="rCellImage8"/>
        <a:stretch>
          <a:fillRect/>
        </a:stretch>
      </xdr:blipFill>
      <xdr:spPr>
        <a:xfrm>
          <a:off x="0" y="0"/>
          <a:ext cx="7634605" cy="100584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9" name="ID_00000000000000000000000000000002" descr="core_image_url__exec_download_2717056443"/>
        <xdr:cNvPicPr/>
      </xdr:nvPicPr>
      <xdr:blipFill>
        <a:blip r:embed="rCellImage9"/>
        <a:stretch>
          <a:fillRect/>
        </a:stretch>
      </xdr:blipFill>
      <xdr:spPr>
        <a:xfrm>
          <a:off x="0" y="0"/>
          <a:ext cx="7716520" cy="100584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10" name="ID_00000000000000000000000000000003" descr="core_image_url__exec_download_2632511535"/>
        <xdr:cNvPicPr/>
      </xdr:nvPicPr>
      <xdr:blipFill>
        <a:blip r:embed="rCellImage10"/>
        <a:stretch>
          <a:fillRect/>
        </a:stretch>
      </xdr:blipFill>
      <xdr:spPr>
        <a:xfrm>
          <a:off x="0" y="0"/>
          <a:ext cx="7839075" cy="1000125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11" name="ID_00000000000000000000000000000004" descr="core_image_url__exec_download_4124982649"/>
        <xdr:cNvPicPr/>
      </xdr:nvPicPr>
      <xdr:blipFill>
        <a:blip r:embed="rCellImage11"/>
        <a:stretch>
          <a:fillRect/>
        </a:stretch>
      </xdr:blipFill>
      <xdr:spPr>
        <a:xfrm>
          <a:off x="0" y="0"/>
          <a:ext cx="7629525" cy="9858375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12" name="ID_00000000000000000000000000000005" descr="core_image_url__exec_download_373243846"/>
        <xdr:cNvPicPr/>
      </xdr:nvPicPr>
      <xdr:blipFill>
        <a:blip r:embed="rCellImage12"/>
        <a:stretch>
          <a:fillRect/>
        </a:stretch>
      </xdr:blipFill>
      <xdr:spPr>
        <a:xfrm>
          <a:off x="0" y="0"/>
          <a:ext cx="7762875" cy="9715500"/>
        </a:xfrm>
        <a:prstGeom prst="rect">
          <a:avLst/>
        </a:prstGeom>
      </xdr:spPr>
    </xdr:pic>
  </etc:cellImage>
</etc:cellImages>
</file>

<file path=xl/styles.xml><?xml version="1.0" encoding="utf-8"?>
<styleSheet xmlns="http://schemas.openxmlformats.org/spreadsheetml/2006/main">
  <numFmts count="8">
    <numFmt numFmtId="164" formatCode="_ * #,##0_ ;_ * \-#,##0_ ;_ * &quot;-&quot;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&quot;￥&quot;* #,##0.00_ ;_ &quot;￥&quot;* \-#,##0.00_ ;_ &quot;￥&quot;* &quot;-&quot;??_ ;_ @_ "/>
    <numFmt numFmtId="168" formatCode="_ * #,##0_ ;_ * \-#,##0_ ;_ * &quot;-&quot;_ ;_ @_ "/>
    <numFmt numFmtId="169" formatCode="_ &quot;￥&quot;* #,##0_ ;_ &quot;￥&quot;* \-#,##0_ ;_ &quot;￥&quot;* &quot;-&quot;_ ;_ @_ "/>
    <numFmt numFmtId="170" formatCode="_ * #,##0.00_ ;_ * \-#,##0.00_ ;_ * &quot;-&quot;??_ ;_ @_ "/>
    <numFmt numFmtId="171" formatCode="_ &quot;￥&quot;* #,##0.00_ ;_ &quot;￥&quot;* \-#,##0.00_ ;_ &quot;￥&quot;* &quot;-&quot;??_ ;_ @_ "/>
  </numFmts>
  <fonts count="65"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4"/>
      <color rgb="FF000000"/>
      <name val="微软雅黑"/>
      <charset val="134"/>
    </font>
    <font>
      <b/>
      <sz val="12"/>
      <color rgb="FFFF0000"/>
      <name val="微软雅黑"/>
      <charset val="134"/>
    </font>
    <font>
      <b/>
      <sz val="14"/>
      <color rgb="FFFF0000"/>
      <name val="微软雅黑"/>
      <charset val="134"/>
    </font>
    <font>
      <b/>
      <sz val="16"/>
      <color rgb="FFFF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rgb="FF44546A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rgb="FF44546A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1"/>
      <color rgb="FF44546A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宋体"/>
      <charset val="0"/>
      <scheme val="minor"/>
    </font>
    <font>
      <sz val="11"/>
      <color rgb="FF000000"/>
      <name val="宋体"/>
      <charset val="0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4"/>
      <color rgb="FF000000"/>
      <name val="黑体"/>
      <charset val="134"/>
    </font>
    <font>
      <sz val="14"/>
      <color rgb="FF000000"/>
      <name val="微软雅黑"/>
      <charset val="134"/>
    </font>
    <font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rgb="FF000000"/>
      <name val="黑体"/>
      <charset val="134"/>
    </font>
    <font>
      <b/>
      <sz val="14"/>
      <color rgb="FFFF0000"/>
      <name val="黑体"/>
      <charset val="134"/>
    </font>
    <font>
      <sz val="12"/>
      <color rgb="FFFF0000"/>
      <name val="微软雅黑"/>
      <charset val="134"/>
    </font>
    <font>
      <b/>
      <sz val="14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4"/>
      <color rgb="FFFF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rgb="FF44546A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rgb="FF44546A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1"/>
      <color rgb="FF44546A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宋体"/>
      <charset val="0"/>
      <scheme val="minor"/>
    </font>
    <font>
      <sz val="11"/>
      <color rgb="FF000000"/>
      <name val="宋体"/>
      <charset val="0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int="0.799981688894314" rgb="FF5B9BD5"/>
        <bgColor indexed="64"/>
      </patternFill>
    </fill>
    <fill>
      <patternFill patternType="solid">
        <fgColor tint="0.599993896298105" rgb="FF5B9BD5"/>
        <bgColor indexed="64"/>
      </patternFill>
    </fill>
    <fill>
      <patternFill patternType="solid">
        <fgColor tint="0.399975585192419"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int="0.799981688894314" rgb="FFED7D31"/>
        <bgColor indexed="64"/>
      </patternFill>
    </fill>
    <fill>
      <patternFill patternType="solid">
        <fgColor tint="0.599993896298105" rgb="FFED7D31"/>
        <bgColor indexed="64"/>
      </patternFill>
    </fill>
    <fill>
      <patternFill patternType="solid">
        <fgColor tint="0.399975585192419" rgb="FFED7D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int="0.799981688894314" rgb="FFA5A5A5"/>
        <bgColor indexed="64"/>
      </patternFill>
    </fill>
    <fill>
      <patternFill patternType="solid">
        <fgColor tint="0.599993896298105" rgb="FFA5A5A5"/>
        <bgColor indexed="64"/>
      </patternFill>
    </fill>
    <fill>
      <patternFill patternType="solid">
        <fgColor tint="0.399975585192419" rgb="FFA5A5A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int="0.799981688894314" rgb="FFFFC000"/>
        <bgColor indexed="64"/>
      </patternFill>
    </fill>
    <fill>
      <patternFill patternType="solid">
        <fgColor tint="0.599993896298105" rgb="FFFFC000"/>
        <bgColor indexed="64"/>
      </patternFill>
    </fill>
    <fill>
      <patternFill patternType="solid">
        <fgColor tint="0.399975585192419"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int="0.799981688894314" rgb="FF4472C4"/>
        <bgColor indexed="64"/>
      </patternFill>
    </fill>
    <fill>
      <patternFill patternType="solid">
        <fgColor tint="0.599993896298105" rgb="FF4472C4"/>
        <bgColor indexed="64"/>
      </patternFill>
    </fill>
    <fill>
      <patternFill patternType="solid">
        <fgColor tint="0.399975585192419"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int="0.799981688894314" rgb="FF70AD47"/>
        <bgColor indexed="64"/>
      </patternFill>
    </fill>
    <fill>
      <patternFill patternType="solid">
        <fgColor tint="0.599993896298105" rgb="FF70AD47"/>
        <bgColor indexed="64"/>
      </patternFill>
    </fill>
    <fill>
      <patternFill patternType="solid">
        <fgColor tint="0.399975585192419" rgb="FF70AD47"/>
        <bgColor indexed="64"/>
      </patternFill>
    </fill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int="0.799981688894314" rgb="FF5B9BD5"/>
        <bgColor indexed="64"/>
      </patternFill>
    </fill>
    <fill>
      <patternFill patternType="solid">
        <fgColor tint="0.599993896298105" rgb="FF5B9BD5"/>
        <bgColor indexed="64"/>
      </patternFill>
    </fill>
    <fill>
      <patternFill patternType="solid">
        <fgColor tint="0.399975585192419"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int="0.799981688894314" rgb="FFED7D31"/>
        <bgColor indexed="64"/>
      </patternFill>
    </fill>
    <fill>
      <patternFill patternType="solid">
        <fgColor tint="0.599993896298105" rgb="FFED7D31"/>
        <bgColor indexed="64"/>
      </patternFill>
    </fill>
    <fill>
      <patternFill patternType="solid">
        <fgColor tint="0.399975585192419" rgb="FFED7D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int="0.799981688894314" rgb="FFA5A5A5"/>
        <bgColor indexed="64"/>
      </patternFill>
    </fill>
    <fill>
      <patternFill patternType="solid">
        <fgColor tint="0.599993896298105" rgb="FFA5A5A5"/>
        <bgColor indexed="64"/>
      </patternFill>
    </fill>
    <fill>
      <patternFill patternType="solid">
        <fgColor tint="0.399975585192419" rgb="FFA5A5A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int="0.799981688894314" rgb="FFFFC000"/>
        <bgColor indexed="64"/>
      </patternFill>
    </fill>
    <fill>
      <patternFill patternType="solid">
        <fgColor tint="0.599993896298105" rgb="FFFFC000"/>
        <bgColor indexed="64"/>
      </patternFill>
    </fill>
    <fill>
      <patternFill patternType="solid">
        <fgColor tint="0.399975585192419"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int="0.799981688894314" rgb="FF4472C4"/>
        <bgColor indexed="64"/>
      </patternFill>
    </fill>
    <fill>
      <patternFill patternType="solid">
        <fgColor tint="0.599993896298105" rgb="FF4472C4"/>
        <bgColor indexed="64"/>
      </patternFill>
    </fill>
    <fill>
      <patternFill patternType="solid">
        <fgColor tint="0.399975585192419"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int="0.799981688894314" rgb="FF70AD47"/>
        <bgColor indexed="64"/>
      </patternFill>
    </fill>
    <fill>
      <patternFill patternType="solid">
        <fgColor tint="0.599993896298105" rgb="FF70AD47"/>
        <bgColor indexed="64"/>
      </patternFill>
    </fill>
    <fill>
      <patternFill patternType="solid">
        <fgColor tint="0.399975585192419" rgb="FF70AD47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tint="0.499984740745262" rgb="FF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tint="0.499984740745262" rgb="FF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98">
    <xf numFmtId="0" fontId="0" fillId="0" borderId="0">
      <alignment vertical="center"/>
    </xf>
    <xf numFmtId="166" fontId="0" fillId="0" borderId="0" applyFont="0" applyFill="0" applyBorder="0" applyAlignment="0" applyProtection="0">
      <alignment vertical="center"/>
    </xf>
    <xf numFmtId="16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64" fontId="0" fillId="0" borderId="0" applyFont="0" applyFill="0" applyBorder="0" applyAlignment="0" applyProtection="0">
      <alignment vertical="center"/>
    </xf>
    <xf numFmtId="165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8" borderId="14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3" fillId="37" borderId="19">
      <alignment vertical="center"/>
    </xf>
    <xf numFmtId="170" fontId="33" fillId="37" borderId="19" applyFont="0" applyFill="0" applyBorder="0" applyAlignment="0" applyProtection="0">
      <alignment vertical="center"/>
    </xf>
    <xf numFmtId="171" fontId="33" fillId="37" borderId="19" applyFont="0" applyFill="0" applyBorder="0" applyAlignment="0" applyProtection="0">
      <alignment vertical="center"/>
    </xf>
    <xf numFmtId="9" fontId="33" fillId="37" borderId="19" applyFont="0" applyFill="0" applyBorder="0" applyAlignment="0" applyProtection="0">
      <alignment vertical="center"/>
    </xf>
    <xf numFmtId="168" fontId="33" fillId="37" borderId="19" applyFont="0" applyFill="0" applyBorder="0" applyAlignment="0" applyProtection="0">
      <alignment vertical="center"/>
    </xf>
    <xf numFmtId="169" fontId="33" fillId="37" borderId="19" applyFont="0" applyFill="0" applyBorder="0" applyAlignment="0" applyProtection="0">
      <alignment vertical="center"/>
    </xf>
    <xf numFmtId="0" fontId="46" fillId="37" borderId="19" applyNumberFormat="0" applyFill="0" applyBorder="0" applyAlignment="0" applyProtection="0">
      <alignment vertical="center"/>
    </xf>
    <xf numFmtId="0" fontId="47" fillId="37" borderId="19" applyNumberFormat="0" applyFill="0" applyBorder="0" applyAlignment="0" applyProtection="0">
      <alignment vertical="center"/>
    </xf>
    <xf numFmtId="0" fontId="33" fillId="41" borderId="24" applyNumberFormat="0" applyFont="0" applyAlignment="0" applyProtection="0">
      <alignment vertical="center"/>
    </xf>
    <xf numFmtId="0" fontId="48" fillId="37" borderId="19" applyNumberFormat="0" applyFill="0" applyBorder="0" applyAlignment="0" applyProtection="0">
      <alignment vertical="center"/>
    </xf>
    <xf numFmtId="0" fontId="49" fillId="37" borderId="19" applyNumberFormat="0" applyFill="0" applyBorder="0" applyAlignment="0" applyProtection="0">
      <alignment vertical="center"/>
    </xf>
    <xf numFmtId="0" fontId="50" fillId="37" borderId="19" applyNumberFormat="0" applyFill="0" applyBorder="0" applyAlignment="0" applyProtection="0">
      <alignment vertical="center"/>
    </xf>
    <xf numFmtId="0" fontId="51" fillId="37" borderId="25" applyNumberFormat="0" applyFill="0" applyAlignment="0" applyProtection="0">
      <alignment vertical="center"/>
    </xf>
    <xf numFmtId="0" fontId="52" fillId="37" borderId="25" applyNumberFormat="0" applyFill="0" applyAlignment="0" applyProtection="0">
      <alignment vertical="center"/>
    </xf>
    <xf numFmtId="0" fontId="53" fillId="37" borderId="26" applyNumberFormat="0" applyFill="0" applyAlignment="0" applyProtection="0">
      <alignment vertical="center"/>
    </xf>
    <xf numFmtId="0" fontId="53" fillId="37" borderId="19" applyNumberFormat="0" applyFill="0" applyBorder="0" applyAlignment="0" applyProtection="0">
      <alignment vertical="center"/>
    </xf>
    <xf numFmtId="0" fontId="54" fillId="42" borderId="27" applyNumberFormat="0" applyAlignment="0" applyProtection="0">
      <alignment vertical="center"/>
    </xf>
    <xf numFmtId="0" fontId="55" fillId="43" borderId="28" applyNumberFormat="0" applyAlignment="0" applyProtection="0">
      <alignment vertical="center"/>
    </xf>
    <xf numFmtId="0" fontId="56" fillId="43" borderId="27" applyNumberFormat="0" applyAlignment="0" applyProtection="0">
      <alignment vertical="center"/>
    </xf>
    <xf numFmtId="0" fontId="57" fillId="44" borderId="29" applyNumberFormat="0" applyAlignment="0" applyProtection="0">
      <alignment vertical="center"/>
    </xf>
    <xf numFmtId="0" fontId="58" fillId="37" borderId="30" applyNumberFormat="0" applyFill="0" applyAlignment="0" applyProtection="0">
      <alignment vertical="center"/>
    </xf>
    <xf numFmtId="0" fontId="59" fillId="37" borderId="31" applyNumberFormat="0" applyFill="0" applyAlignment="0" applyProtection="0">
      <alignment vertical="center"/>
    </xf>
    <xf numFmtId="0" fontId="60" fillId="45" borderId="19" applyNumberFormat="0" applyBorder="0" applyAlignment="0" applyProtection="0">
      <alignment vertical="center"/>
    </xf>
    <xf numFmtId="0" fontId="61" fillId="46" borderId="19" applyNumberFormat="0" applyBorder="0" applyAlignment="0" applyProtection="0">
      <alignment vertical="center"/>
    </xf>
    <xf numFmtId="0" fontId="62" fillId="47" borderId="19" applyNumberFormat="0" applyBorder="0" applyAlignment="0" applyProtection="0">
      <alignment vertical="center"/>
    </xf>
    <xf numFmtId="0" fontId="63" fillId="48" borderId="19" applyNumberFormat="0" applyBorder="0" applyAlignment="0" applyProtection="0">
      <alignment vertical="center"/>
    </xf>
    <xf numFmtId="0" fontId="64" fillId="49" borderId="19" applyNumberFormat="0" applyBorder="0" applyAlignment="0" applyProtection="0">
      <alignment vertical="center"/>
    </xf>
    <xf numFmtId="0" fontId="64" fillId="50" borderId="19" applyNumberFormat="0" applyBorder="0" applyAlignment="0" applyProtection="0">
      <alignment vertical="center"/>
    </xf>
    <xf numFmtId="0" fontId="63" fillId="51" borderId="19" applyNumberFormat="0" applyBorder="0" applyAlignment="0" applyProtection="0">
      <alignment vertical="center"/>
    </xf>
    <xf numFmtId="0" fontId="63" fillId="52" borderId="19" applyNumberFormat="0" applyBorder="0" applyAlignment="0" applyProtection="0">
      <alignment vertical="center"/>
    </xf>
    <xf numFmtId="0" fontId="64" fillId="53" borderId="19" applyNumberFormat="0" applyBorder="0" applyAlignment="0" applyProtection="0">
      <alignment vertical="center"/>
    </xf>
    <xf numFmtId="0" fontId="64" fillId="54" borderId="19" applyNumberFormat="0" applyBorder="0" applyAlignment="0" applyProtection="0">
      <alignment vertical="center"/>
    </xf>
    <xf numFmtId="0" fontId="63" fillId="55" borderId="19" applyNumberFormat="0" applyBorder="0" applyAlignment="0" applyProtection="0">
      <alignment vertical="center"/>
    </xf>
    <xf numFmtId="0" fontId="63" fillId="56" borderId="19" applyNumberFormat="0" applyBorder="0" applyAlignment="0" applyProtection="0">
      <alignment vertical="center"/>
    </xf>
    <xf numFmtId="0" fontId="64" fillId="57" borderId="19" applyNumberFormat="0" applyBorder="0" applyAlignment="0" applyProtection="0">
      <alignment vertical="center"/>
    </xf>
    <xf numFmtId="0" fontId="64" fillId="58" borderId="19" applyNumberFormat="0" applyBorder="0" applyAlignment="0" applyProtection="0">
      <alignment vertical="center"/>
    </xf>
    <xf numFmtId="0" fontId="63" fillId="59" borderId="19" applyNumberFormat="0" applyBorder="0" applyAlignment="0" applyProtection="0">
      <alignment vertical="center"/>
    </xf>
    <xf numFmtId="0" fontId="63" fillId="60" borderId="19" applyNumberFormat="0" applyBorder="0" applyAlignment="0" applyProtection="0">
      <alignment vertical="center"/>
    </xf>
    <xf numFmtId="0" fontId="64" fillId="61" borderId="19" applyNumberFormat="0" applyBorder="0" applyAlignment="0" applyProtection="0">
      <alignment vertical="center"/>
    </xf>
    <xf numFmtId="0" fontId="64" fillId="62" borderId="19" applyNumberFormat="0" applyBorder="0" applyAlignment="0" applyProtection="0">
      <alignment vertical="center"/>
    </xf>
    <xf numFmtId="0" fontId="63" fillId="63" borderId="19" applyNumberFormat="0" applyBorder="0" applyAlignment="0" applyProtection="0">
      <alignment vertical="center"/>
    </xf>
    <xf numFmtId="0" fontId="63" fillId="64" borderId="19" applyNumberFormat="0" applyBorder="0" applyAlignment="0" applyProtection="0">
      <alignment vertical="center"/>
    </xf>
    <xf numFmtId="0" fontId="64" fillId="65" borderId="19" applyNumberFormat="0" applyBorder="0" applyAlignment="0" applyProtection="0">
      <alignment vertical="center"/>
    </xf>
    <xf numFmtId="0" fontId="64" fillId="66" borderId="19" applyNumberFormat="0" applyBorder="0" applyAlignment="0" applyProtection="0">
      <alignment vertical="center"/>
    </xf>
    <xf numFmtId="0" fontId="63" fillId="67" borderId="19" applyNumberFormat="0" applyBorder="0" applyAlignment="0" applyProtection="0">
      <alignment vertical="center"/>
    </xf>
    <xf numFmtId="0" fontId="63" fillId="68" borderId="19" applyNumberFormat="0" applyBorder="0" applyAlignment="0" applyProtection="0">
      <alignment vertical="center"/>
    </xf>
    <xf numFmtId="0" fontId="64" fillId="69" borderId="19" applyNumberFormat="0" applyBorder="0" applyAlignment="0" applyProtection="0">
      <alignment vertical="center"/>
    </xf>
    <xf numFmtId="0" fontId="64" fillId="70" borderId="19" applyNumberFormat="0" applyBorder="0" applyAlignment="0" applyProtection="0">
      <alignment vertical="center"/>
    </xf>
    <xf numFmtId="0" fontId="63" fillId="71" borderId="19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38" fontId="3" fillId="0" borderId="1" xfId="0" applyNumberFormat="1" applyFont="1" applyFill="1" applyBorder="1" applyAlignment="1">
      <alignment horizontal="center" vertical="center" wrapText="1"/>
    </xf>
    <xf numFmtId="38" fontId="4" fillId="0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33" fillId="37" borderId="19" xfId="49">
      <alignment vertical="center"/>
    </xf>
    <xf numFmtId="0" fontId="34" fillId="37" borderId="19" xfId="49" applyFont="1" applyFill="1" applyAlignment="1">
      <alignment vertical="center"/>
    </xf>
    <xf numFmtId="0" fontId="35" fillId="37" borderId="19" xfId="49" applyFont="1" applyFill="1" applyAlignment="1">
      <alignment vertical="center"/>
    </xf>
    <xf numFmtId="0" fontId="36" fillId="39" borderId="19" xfId="49" applyFont="1" applyFill="1" applyAlignment="1">
      <alignment horizontal="center" vertical="center"/>
    </xf>
    <xf numFmtId="0" fontId="37" fillId="39" borderId="19" xfId="49" applyFont="1" applyFill="1" applyAlignment="1">
      <alignment horizontal="center" vertical="center"/>
    </xf>
    <xf numFmtId="0" fontId="35" fillId="39" borderId="19" xfId="49" applyFont="1" applyFill="1" applyAlignment="1">
      <alignment horizontal="center" vertical="center"/>
    </xf>
    <xf numFmtId="0" fontId="38" fillId="37" borderId="20" xfId="49" applyFont="1" applyFill="1" applyBorder="1" applyAlignment="1">
      <alignment horizontal="center" vertical="center"/>
    </xf>
    <xf numFmtId="0" fontId="39" fillId="40" borderId="20" xfId="49" applyFont="1" applyFill="1" applyBorder="1" applyAlignment="1">
      <alignment horizontal="center" vertical="center" wrapText="1"/>
    </xf>
    <xf numFmtId="0" fontId="40" fillId="37" borderId="20" xfId="49" applyFont="1" applyFill="1" applyBorder="1" applyAlignment="1">
      <alignment horizontal="center" vertical="center"/>
    </xf>
    <xf numFmtId="0" fontId="41" fillId="37" borderId="20" xfId="49" applyFont="1" applyFill="1" applyBorder="1" applyAlignment="1">
      <alignment horizontal="center" vertical="center"/>
    </xf>
    <xf numFmtId="0" fontId="42" fillId="37" borderId="21" xfId="49" applyFont="1" applyFill="1" applyBorder="1" applyAlignment="1">
      <alignment horizontal="center" vertical="center"/>
    </xf>
    <xf numFmtId="0" fontId="43" fillId="37" borderId="20" xfId="49" applyFont="1" applyFill="1" applyBorder="1" applyAlignment="1">
      <alignment horizontal="center" vertical="center"/>
    </xf>
    <xf numFmtId="0" fontId="42" fillId="37" borderId="20" xfId="49" applyFont="1" applyFill="1" applyBorder="1" applyAlignment="1">
      <alignment horizontal="center" vertical="center"/>
    </xf>
    <xf numFmtId="0" fontId="43" fillId="37" borderId="20" xfId="49" applyFont="1" applyFill="1" applyBorder="1" applyAlignment="1">
      <alignment horizontal="center" vertical="center" wrapText="1"/>
    </xf>
    <xf numFmtId="0" fontId="35" fillId="37" borderId="21" xfId="49" applyFont="1" applyFill="1" applyBorder="1" applyAlignment="1">
      <alignment horizontal="center" vertical="center"/>
    </xf>
    <xf numFmtId="0" fontId="42" fillId="37" borderId="22" xfId="49" applyFont="1" applyFill="1" applyBorder="1" applyAlignment="1">
      <alignment horizontal="center" vertical="center"/>
    </xf>
    <xf numFmtId="0" fontId="42" fillId="37" borderId="20" xfId="49" applyFont="1" applyFill="1" applyBorder="1" applyAlignment="1">
      <alignment horizontal="center" vertical="center" wrapText="1"/>
    </xf>
    <xf numFmtId="0" fontId="35" fillId="37" borderId="22" xfId="49" applyFont="1" applyFill="1" applyBorder="1" applyAlignment="1">
      <alignment horizontal="center" vertical="center"/>
    </xf>
    <xf numFmtId="0" fontId="42" fillId="37" borderId="23" xfId="49" applyFont="1" applyFill="1" applyBorder="1" applyAlignment="1">
      <alignment horizontal="center" vertical="center"/>
    </xf>
    <xf numFmtId="0" fontId="35" fillId="37" borderId="23" xfId="49" applyFont="1" applyFill="1" applyBorder="1" applyAlignment="1">
      <alignment horizontal="center" vertical="center"/>
    </xf>
    <xf numFmtId="0" fontId="35" fillId="37" borderId="20" xfId="49" applyFont="1" applyFill="1" applyBorder="1" applyAlignment="1">
      <alignment horizontal="center" vertical="center"/>
    </xf>
    <xf numFmtId="0" fontId="39" fillId="37" borderId="20" xfId="49" applyFont="1" applyFill="1" applyBorder="1" applyAlignment="1">
      <alignment horizontal="center" vertical="center"/>
    </xf>
    <xf numFmtId="0" fontId="39" fillId="37" borderId="20" xfId="49" applyFont="1" applyFill="1" applyBorder="1" applyAlignment="1">
      <alignment horizontal="center" vertical="center" wrapText="1"/>
    </xf>
    <xf numFmtId="0" fontId="44" fillId="37" borderId="20" xfId="49" applyFont="1" applyFill="1" applyBorder="1" applyAlignment="1">
      <alignment horizontal="center" vertical="center"/>
    </xf>
    <xf numFmtId="0" fontId="34" fillId="37" borderId="20" xfId="49" applyFont="1" applyFill="1" applyBorder="1" applyAlignment="1">
      <alignment horizontal="center" vertical="center"/>
    </xf>
    <xf numFmtId="0" fontId="45" fillId="37" borderId="21" xfId="49" applyFont="1" applyFill="1" applyBorder="1" applyAlignment="1">
      <alignment horizontal="center" vertical="center"/>
    </xf>
    <xf numFmtId="0" fontId="34" fillId="37" borderId="22" xfId="49" applyFont="1" applyFill="1" applyBorder="1" applyAlignment="1">
      <alignment horizontal="center" vertical="center"/>
    </xf>
  </cellXfs>
  <cellStyles count="9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" xfId="49"/>
    <cellStyle name="千位分隔_2" xfId="50"/>
    <cellStyle name="货币_2" xfId="51"/>
    <cellStyle name="百分比_2" xfId="52"/>
    <cellStyle name="千位分隔[0]_2" xfId="53"/>
    <cellStyle name="货币[0]_2" xfId="54"/>
    <cellStyle name="超链接_2" xfId="55"/>
    <cellStyle name="已访问的超链接_2" xfId="56"/>
    <cellStyle name="注释_2" xfId="57"/>
    <cellStyle name="警告文本_2" xfId="58"/>
    <cellStyle name="标题_2" xfId="59"/>
    <cellStyle name="解释性文本_2" xfId="60"/>
    <cellStyle name="标题 1_2" xfId="61"/>
    <cellStyle name="标题 2_2" xfId="62"/>
    <cellStyle name="标题 3_2" xfId="63"/>
    <cellStyle name="标题 4_2" xfId="64"/>
    <cellStyle name="输入_2" xfId="65"/>
    <cellStyle name="输出_2" xfId="66"/>
    <cellStyle name="计算_2" xfId="67"/>
    <cellStyle name="检查单元格_2" xfId="68"/>
    <cellStyle name="链接单元格_2" xfId="69"/>
    <cellStyle name="汇总_2" xfId="70"/>
    <cellStyle name="好_2" xfId="71"/>
    <cellStyle name="差_2" xfId="72"/>
    <cellStyle name="适中_2" xfId="73"/>
    <cellStyle name="强调文字颜色 1_2" xfId="74"/>
    <cellStyle name="20% - 强调文字颜色 1_2" xfId="75"/>
    <cellStyle name="40% - 强调文字颜色 1_2" xfId="76"/>
    <cellStyle name="60% - 强调文字颜色 1_2" xfId="77"/>
    <cellStyle name="强调文字颜色 2_2" xfId="78"/>
    <cellStyle name="20% - 强调文字颜色 2_2" xfId="79"/>
    <cellStyle name="40% - 强调文字颜色 2_2" xfId="80"/>
    <cellStyle name="60% - 强调文字颜色 2_2" xfId="81"/>
    <cellStyle name="强调文字颜色 3_2" xfId="82"/>
    <cellStyle name="20% - 强调文字颜色 3_2" xfId="83"/>
    <cellStyle name="40% - 强调文字颜色 3_2" xfId="84"/>
    <cellStyle name="60% - 强调文字颜色 3_2" xfId="85"/>
    <cellStyle name="强调文字颜色 4_2" xfId="86"/>
    <cellStyle name="20% - 强调文字颜色 4_2" xfId="87"/>
    <cellStyle name="40% - 强调文字颜色 4_2" xfId="88"/>
    <cellStyle name="60% - 强调文字颜色 4_2" xfId="89"/>
    <cellStyle name="强调文字颜色 5_2" xfId="90"/>
    <cellStyle name="20% - 强调文字颜色 5_2" xfId="91"/>
    <cellStyle name="40% - 强调文字颜色 5_2" xfId="92"/>
    <cellStyle name="60% - 强调文字颜色 5_2" xfId="93"/>
    <cellStyle name="强调文字颜色 6_2" xfId="94"/>
    <cellStyle name="20% - 强调文字颜色 6_2" xfId="95"/>
    <cellStyle name="40% - 强调文字颜色 6_2" xfId="96"/>
    <cellStyle name="60% - 强调文字颜色 6_2" xfId="97"/>
  </cellStyles>
  <dxfs count="34"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5B9BD5"/>
        </top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tint="0.399975585192419" rgb="FF5B9BD5"/>
        </horizontal>
      </border>
    </dxf>
    <dxf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b val="1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color rgb="FF000000"/>
      </font>
    </dxf>
    <dxf>
      <font>
        <color rgb="FF000000"/>
      </font>
      <border>
        <bottom style="thin">
          <color tint="0.399975585192419" rgb="FF5B9BD5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top style="thin">
          <color tint="0.399975585192419" rgb="FF5B9BD5"/>
        </top>
        <bottom style="thin">
          <color tint="0.399975585192419" rgb="FF5B9BD5"/>
        </bottom>
      </border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5B9BD5"/>
        </top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tint="0.399975585192419" rgb="FF5B9BD5"/>
        </horizontal>
      </border>
    </dxf>
    <dxf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b val="1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color rgb="FF000000"/>
      </font>
    </dxf>
    <dxf>
      <font>
        <color rgb="FF000000"/>
      </font>
      <border>
        <bottom style="thin">
          <color tint="0.399975585192419" rgb="FF5B9BD5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top style="thin">
          <color tint="0.399975585192419" rgb="FF5B9BD5"/>
        </top>
        <bottom style="thin">
          <color tint="0.399975585192419" rgb="FF5B9BD5"/>
        </bottom>
      </border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</dxfs>
  <tableStyles count="0" defaultTableStyle="TableStyleMedium2" defaultPivotStyle="PivotStyleLight16"/>
</styleSheet>
</file>

<file path=xl/_rels/cellimages.xml.rels><Relationships xmlns="http://schemas.openxmlformats.org/package/2006/relationships"><Relationship Id="rCellImage1" Type="http://schemas.openxmlformats.org/officeDocument/2006/relationships/image" Target="media/image1.jpeg"/><Relationship Id="rCellImage2" Type="http://schemas.openxmlformats.org/officeDocument/2006/relationships/image" Target="media/image2.jpeg"/><Relationship Id="rCellImage3" Type="http://schemas.openxmlformats.org/officeDocument/2006/relationships/image" Target="media/image3.jpeg"/><Relationship Id="rCellImage4" Type="http://schemas.openxmlformats.org/officeDocument/2006/relationships/image" Target="media/image4.jpeg"/><Relationship Id="rCellImage5" Type="http://schemas.openxmlformats.org/officeDocument/2006/relationships/image" Target="media/image5.jpeg"/><Relationship Id="rCellImage6" Type="http://schemas.openxmlformats.org/officeDocument/2006/relationships/image" Target="media/image6.jpeg"/><Relationship Id="rCellImage7" Type="http://schemas.openxmlformats.org/officeDocument/2006/relationships/image" Target="media/image7.jpeg"/><Relationship Id="rCellImage8" Type="http://schemas.openxmlformats.org/officeDocument/2006/relationships/image" Target="media/image8.jpeg"/><Relationship Id="rCellImage9" Type="http://schemas.openxmlformats.org/officeDocument/2006/relationships/image" Target="media/image9.jpeg"/><Relationship Id="rCellImage10" Type="http://schemas.openxmlformats.org/officeDocument/2006/relationships/image" Target="media/image10.jpeg"/><Relationship Id="rCellImage11" Type="http://schemas.openxmlformats.org/officeDocument/2006/relationships/image" Target="media/image11.jpeg"/><Relationship Id="rCellImage12" Type="http://schemas.openxmlformats.org/officeDocument/2006/relationships/image" Target="media/image12.jpeg"/></Relationships>
</file>

<file path=xl/_rels/workbook.xml.rels><Relationships xmlns="http://schemas.openxmlformats.org/package/2006/relationships"><Relationship Id="rStyles" Type="http://schemas.openxmlformats.org/officeDocument/2006/relationships/styles" Target="styles.xml"/><Relationship Id="rSheet1" Type="http://schemas.openxmlformats.org/officeDocument/2006/relationships/worksheet" Target="worksheets/sheet1.xml"/><Relationship Id="rSheet2" Type="http://schemas.openxmlformats.org/officeDocument/2006/relationships/worksheet" Target="worksheets/sheet2.xml"/><Relationship Id="rCellImages" Type="http://www.wps.cn/officeDocument/2020/cellImage" Target="cellimag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workbookViewId="0">
      <selection activeCell="A1" sqref="A1"/>
    </sheetView>
  </sheetViews>
  <sheetFormatPr defaultColWidth="11.3333333333333" defaultRowHeight="19.5"/>
  <cols>
    <col min="1" max="2" width="11.3333333333333" style="1"/>
    <col min="3" max="3" width="14.7111111111111" style="1"/>
    <col min="4" max="6" width="11.3333333333333" style="1"/>
    <col min="7" max="12" width="11.3333333333333" style="2" customWidth="1"/>
    <col min="13" max="13" width="11.3333333333333" style="1" customWidth="1"/>
    <col min="14" max="14" width="11.3333333333333" style="1"/>
    <col min="15" max="18" width="13.8888888888889" style="1" customWidth="1"/>
    <col min="19" max="19" width="30.7777777777778" style="1" customWidth="1"/>
    <col min="20" max="20" width="25" style="1" customWidth="1"/>
    <col min="21" max="16384" width="11.3333333333333" style="1"/>
  </cols>
  <sheetData>
    <row r="1" ht="25.5" spans="1:20">
      <c r="A1" s="3" t="inlineStr">
        <is>
          <t>序号</t>
        </is>
      </c>
      <c r="B1" s="3" t="inlineStr">
        <is>
          <t>款号</t>
        </is>
      </c>
      <c r="C1" s="3" t="inlineStr">
        <is>
          <t>图片</t>
        </is>
      </c>
      <c r="D1" s="3" t="inlineStr">
        <is>
          <t>材质</t>
        </is>
      </c>
      <c r="E1" s="3" t="inlineStr">
        <is>
          <t>尺码</t>
        </is>
      </c>
      <c r="F1" s="3" t="inlineStr">
        <is>
          <t>颜色</t>
        </is>
      </c>
      <c r="G1" s="4" t="inlineStr">
        <is>
          <t>XS</t>
        </is>
      </c>
      <c r="H1" s="4" t="inlineStr">
        <is>
          <t>S</t>
        </is>
      </c>
      <c r="I1" s="5" t="inlineStr">
        <is>
          <t>M</t>
        </is>
      </c>
      <c r="J1" s="5" t="inlineStr">
        <is>
          <t>L</t>
        </is>
      </c>
      <c r="K1" s="5" t="inlineStr">
        <is>
          <t>XL</t>
        </is>
      </c>
      <c r="L1" s="3" t="inlineStr">
        <is>
          <t>XXL</t>
        </is>
      </c>
      <c r="M1" s="6" t="inlineStr">
        <is>
          <t>总库存</t>
        </is>
      </c>
      <c r="N1" s="7" t="inlineStr">
        <is>
          <t>直播价</t>
        </is>
      </c>
      <c r="O1" s="8" t="inlineStr">
        <is>
          <t>价格（不含税）</t>
        </is>
      </c>
      <c r="P1" s="8" t="inlineStr">
        <is>
          <t>价格（含税）</t>
        </is>
      </c>
      <c r="Q1" s="9" t="inlineStr">
        <is>
          <t>下单起订量</t>
        </is>
      </c>
      <c r="R1" s="10" t="inlineStr">
        <is>
          <t>生产周期</t>
        </is>
      </c>
      <c r="S1" s="11" t="inlineStr">
        <is>
          <t>产品介绍</t>
        </is>
      </c>
      <c r="T1" s="12" t="inlineStr">
        <is>
          <t>尺码表</t>
        </is>
      </c>
    </row>
    <row r="2" ht="85" customHeight="1" spans="1:20">
      <c r="A2" s="14">
        <v>7</v>
      </c>
      <c r="B2" s="13" t="inlineStr">
        <is>
          <t>H140</t>
        </is>
      </c>
      <c r="C2" s="34" t="str">
        <f>_xlfn.DISPIMG("ID_790A31AAABC34976B0995BD9492F32C7",1)</f>
        <v>=DISPIMG("ID_790A31AAABC34976B0995BD9492F32C7",1)</v>
      </c>
      <c r="D2" s="14" t="inlineStr">
        <is>
          <t>100%山羊绒</t>
        </is>
      </c>
      <c r="E2" s="14" t="inlineStr">
        <is>
          <t>M-XL</t>
        </is>
      </c>
      <c r="F2" s="13" t="inlineStr">
        <is>
          <t>浅灰</t>
        </is>
      </c>
      <c r="G2" s="15"/>
      <c r="H2" s="15"/>
      <c r="I2" s="15">
        <v>2</v>
      </c>
      <c r="J2" s="15">
        <v>6</v>
      </c>
      <c r="K2" s="15">
        <v>1</v>
      </c>
      <c r="L2" s="15"/>
      <c r="M2" s="16">
        <v>9</v>
      </c>
      <c r="N2" s="17">
        <v>799</v>
      </c>
      <c r="O2" s="18">
        <v>330</v>
      </c>
      <c r="P2" s="18">
        <v>353</v>
      </c>
      <c r="Q2" s="19"/>
      <c r="R2" s="35"/>
      <c r="S2" s="36" t="inlineStr">
        <is>
          <t>1.1.原料采用2/80，精纺山羊绒，细腻柔软。
2.工艺难点：高支数的纱线机织的时间特别长，因为它轻薄，稍微快点就容易造成纱线损伤；由于纱线太细，套口工艺要求也非常高，一天一个人最多只能套8件。
3. 整体设计：衣身平针组织，领子、下摆和袖口做了空转处理，没有束缚感。小圆领宽松版型，搭配微透的面料风格，简约随性，可单穿可叠穿，宽松版型，包容性强，打造一种慵懒随性的感觉。</t>
        </is>
      </c>
      <c r="T2" s="37" t="str">
        <f>_xlfn.DISPIMG("ID_5323927CF87249CAACC93A10EAB9F636",1)</f>
        <v>=DISPIMG("ID_5323927CF87249CAACC93A10EAB9F636",1)</v>
      </c>
    </row>
    <row r="3" ht="85" customHeight="1" spans="1:20">
      <c r="A3" s="14"/>
      <c r="B3" s="14"/>
      <c r="C3" s="14" t="str">
        <f>_xlfn.DISPIMG("ID_605D9A1E20C84C46A3DE20A52FAF8348",1)</f>
        <v>=DISPIMG("ID_605D9A1E20C84C46A3DE20A52FAF8348",1)</v>
      </c>
      <c r="D3" s="14"/>
      <c r="E3" s="14"/>
      <c r="F3" s="13" t="inlineStr">
        <is>
          <t>草绿</t>
        </is>
      </c>
      <c r="G3" s="15"/>
      <c r="H3" s="15"/>
      <c r="I3" s="15">
        <v>0</v>
      </c>
      <c r="J3" s="15">
        <v>0</v>
      </c>
      <c r="K3" s="15">
        <v>0</v>
      </c>
      <c r="L3" s="15"/>
      <c r="M3" s="16">
        <v>0</v>
      </c>
      <c r="N3" s="38"/>
      <c r="O3" s="39"/>
      <c r="P3" s="39"/>
      <c r="Q3" s="40"/>
      <c r="R3" s="41"/>
      <c r="S3" s="36"/>
      <c r="T3" s="37"/>
    </row>
    <row r="4" ht="85" customHeight="1" spans="1:20">
      <c r="A4" s="14"/>
      <c r="B4" s="14"/>
      <c r="C4" s="14" t="str">
        <f>_xlfn.DISPIMG("ID_9576FDB00BB944DCA199C10E1C6844BD",1)</f>
        <v>=DISPIMG("ID_9576FDB00BB944DCA199C10E1C6844BD",1)</v>
      </c>
      <c r="D4" s="14"/>
      <c r="E4" s="14"/>
      <c r="F4" s="13" t="inlineStr">
        <is>
          <t>驼色</t>
        </is>
      </c>
      <c r="G4" s="15"/>
      <c r="H4" s="15"/>
      <c r="I4" s="15">
        <v>2</v>
      </c>
      <c r="J4" s="15">
        <v>6</v>
      </c>
      <c r="K4" s="15">
        <v>1</v>
      </c>
      <c r="L4" s="15"/>
      <c r="M4" s="16">
        <v>9</v>
      </c>
      <c r="N4" s="38"/>
      <c r="O4" s="39"/>
      <c r="P4" s="39"/>
      <c r="Q4" s="40"/>
      <c r="R4" s="41"/>
      <c r="S4" s="36"/>
      <c r="T4" s="37"/>
    </row>
    <row r="5" ht="85" customHeight="1" spans="1:20">
      <c r="A5" s="14"/>
      <c r="B5" s="14"/>
      <c r="C5" s="14" t="str">
        <f>_xlfn.DISPIMG("ID_EBF1CBDF23C3418A9C567C5EF7140105",1)</f>
        <v>=DISPIMG("ID_EBF1CBDF23C3418A9C567C5EF7140105",1)</v>
      </c>
      <c r="D5" s="14"/>
      <c r="E5" s="14"/>
      <c r="F5" s="13" t="inlineStr">
        <is>
          <t>黑色</t>
        </is>
      </c>
      <c r="G5" s="15"/>
      <c r="H5" s="15"/>
      <c r="I5" s="15">
        <v>30</v>
      </c>
      <c r="J5" s="15">
        <v>43</v>
      </c>
      <c r="K5" s="15">
        <v>30</v>
      </c>
      <c r="L5" s="15"/>
      <c r="M5" s="16">
        <v>103</v>
      </c>
      <c r="N5" s="38"/>
      <c r="O5" s="39"/>
      <c r="P5" s="39"/>
      <c r="Q5" s="40"/>
      <c r="R5" s="41"/>
      <c r="S5" s="36"/>
      <c r="T5" s="37"/>
    </row>
    <row r="6" ht="85" customHeight="1" spans="1:20">
      <c r="A6" s="14"/>
      <c r="B6" s="14"/>
      <c r="C6" s="14" t="str">
        <f>_xlfn.DISPIMG("ID_DED9A3022AA44BE692727AA015C5FEF5",1)</f>
        <v>=DISPIMG("ID_DED9A3022AA44BE692727AA015C5FEF5",1)</v>
      </c>
      <c r="D6" s="14"/>
      <c r="E6" s="14"/>
      <c r="F6" s="13" t="inlineStr">
        <is>
          <t>深灰</t>
        </is>
      </c>
      <c r="G6" s="15"/>
      <c r="H6" s="15"/>
      <c r="I6" s="15">
        <v>49</v>
      </c>
      <c r="J6" s="15">
        <v>70</v>
      </c>
      <c r="K6" s="15">
        <v>80</v>
      </c>
      <c r="L6" s="15"/>
      <c r="M6" s="16">
        <v>199</v>
      </c>
      <c r="N6" s="38"/>
      <c r="O6" s="39"/>
      <c r="P6" s="39"/>
      <c r="Q6" s="40"/>
      <c r="R6" s="41"/>
      <c r="S6" s="36"/>
      <c r="T6" s="37"/>
    </row>
    <row r="7" ht="85" customHeight="1" spans="1:20">
      <c r="A7" s="14"/>
      <c r="B7" s="14"/>
      <c r="C7" s="14" t="str">
        <f>_xlfn.DISPIMG("ID_683EE720A4E3451E841AE5FB89359E12",1)</f>
        <v>=DISPIMG("ID_683EE720A4E3451E841AE5FB89359E12",1)</v>
      </c>
      <c r="D7" s="14"/>
      <c r="E7" s="14"/>
      <c r="F7" s="13" t="inlineStr">
        <is>
          <t>茄红色</t>
        </is>
      </c>
      <c r="G7" s="15"/>
      <c r="H7" s="15"/>
      <c r="I7" s="15">
        <v>14</v>
      </c>
      <c r="J7" s="15">
        <v>3</v>
      </c>
      <c r="K7" s="15">
        <v>0</v>
      </c>
      <c r="L7" s="15"/>
      <c r="M7" s="16">
        <v>17</v>
      </c>
      <c r="N7" s="21"/>
      <c r="O7" s="22"/>
      <c r="P7" s="22"/>
      <c r="Q7" s="23"/>
      <c r="R7" s="42"/>
      <c r="S7" s="36"/>
      <c r="T7" s="37"/>
    </row>
  </sheetData>
  <mergeCells count="11">
    <mergeCell ref="A2:A7"/>
    <mergeCell ref="B2:B7"/>
    <mergeCell ref="D2:D7"/>
    <mergeCell ref="E2:E7"/>
    <mergeCell ref="N2:N7"/>
    <mergeCell ref="O2:O7"/>
    <mergeCell ref="P2:P7"/>
    <mergeCell ref="Q2:Q7"/>
    <mergeCell ref="R2:R7"/>
    <mergeCell ref="S2:S7"/>
    <mergeCell ref="T2:T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"/>
    </sheetView>
  </sheetViews>
  <sheetFormatPr defaultColWidth="11.3333333333333" defaultRowHeight="21.75"/>
  <cols>
    <col min="1" max="2" width="11.3333333333333" style="44"/>
    <col min="3" max="3" width="13.8592592592593" style="44"/>
    <col min="4" max="4" width="16.1111111111111" style="44" customWidth="1"/>
    <col min="5" max="14" width="11.3333333333333" style="44"/>
    <col min="15" max="15" width="15.8888888888889" style="45" customWidth="1"/>
    <col min="16" max="16384" width="11.3333333333333" style="44"/>
  </cols>
  <sheetData>
    <row r="1" ht="42.75" customHeight="1" spans="1:16">
      <c r="A1" s="46" t="inlineStr">
        <is>
          <t>PAMIR产品表</t>
        </is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/>
      <c r="P1" s="47"/>
    </row>
    <row r="2" ht="27" customHeight="1" spans="1:16">
      <c r="A2" s="49" t="inlineStr">
        <is>
          <t>序号</t>
        </is>
      </c>
      <c r="B2" s="49" t="inlineStr">
        <is>
          <t>款号</t>
        </is>
      </c>
      <c r="C2" s="49" t="inlineStr">
        <is>
          <t>图片</t>
        </is>
      </c>
      <c r="D2" s="49" t="inlineStr">
        <is>
          <t>材质</t>
        </is>
      </c>
      <c r="E2" s="49" t="inlineStr">
        <is>
          <t>尺码</t>
        </is>
      </c>
      <c r="F2" s="49" t="inlineStr">
        <is>
          <t>颜色</t>
        </is>
      </c>
      <c r="G2" s="50" t="inlineStr">
        <is>
          <t>XS</t>
        </is>
      </c>
      <c r="H2" s="50" t="inlineStr">
        <is>
          <t>S</t>
        </is>
      </c>
      <c r="I2" s="50" t="inlineStr">
        <is>
          <t>M</t>
        </is>
      </c>
      <c r="J2" s="50" t="inlineStr">
        <is>
          <t>L</t>
        </is>
      </c>
      <c r="K2" s="50" t="inlineStr">
        <is>
          <t>XL</t>
        </is>
      </c>
      <c r="L2" s="50" t="inlineStr">
        <is>
          <t>2XL</t>
        </is>
      </c>
      <c r="M2" s="50" t="inlineStr">
        <is>
          <t>3XL</t>
        </is>
      </c>
      <c r="N2" s="50" t="inlineStr">
        <is>
          <t>4XL</t>
        </is>
      </c>
      <c r="O2" s="51" t="inlineStr">
        <is>
          <t>价格（含税）</t>
        </is>
      </c>
      <c r="P2" s="52" t="inlineStr">
        <is>
          <t>下单起订量</t>
        </is>
      </c>
    </row>
    <row r="3" ht="85" customHeight="1" spans="1:16">
      <c r="A3" s="53">
        <v>3</v>
      </c>
      <c r="B3" s="56" t="inlineStr">
        <is>
          <t>H140</t>
        </is>
      </c>
      <c r="C3" s="59" t="str">
        <f>_xlfn.DISPIMG("ID_00000000000000000000000000000001",1)</f>
        <v>=DISPIMG("ID_00000000000000000000000000000001",1)</v>
      </c>
      <c r="D3" s="56" t="inlineStr">
        <is>
          <r>
            <rPr>
              <b/>
              <sz val="14"/>
              <color rgb="FF000000"/>
              <rFont val="微软雅黑"/>
              <charset val="134"/>
            </rPr>
            <t xml:space="preserve">100%山羊绒
</t>
          </r>
          <r>
            <rPr>
              <b/>
              <sz val="14"/>
              <color rgb="FFFF0000"/>
              <rFont val="微软雅黑"/>
              <charset val="134"/>
            </rPr>
            <t>15.3微米</t>
          </r>
        </is>
      </c>
      <c r="E3" s="59" t="inlineStr">
        <is>
          <t>M-XL</t>
        </is>
      </c>
      <c r="F3" s="56" t="inlineStr">
        <is>
          <t>草绿</t>
        </is>
      </c>
      <c r="G3" s="56"/>
      <c r="H3" s="56"/>
      <c r="I3" s="56">
        <v>0</v>
      </c>
      <c r="J3" s="56">
        <v>0</v>
      </c>
      <c r="K3" s="56">
        <v>0</v>
      </c>
      <c r="L3" s="56"/>
      <c r="M3" s="56"/>
      <c r="N3" s="56"/>
      <c r="O3" s="57">
        <v>477</v>
      </c>
      <c r="P3" s="53"/>
    </row>
    <row r="4" ht="85" customHeight="1" spans="1:16">
      <c r="A4" s="61"/>
      <c r="B4" s="59"/>
      <c r="C4" s="59" t="str">
        <f>_xlfn.DISPIMG("ID_00000000000000000000000000000002",1)</f>
        <v>=DISPIMG("ID_00000000000000000000000000000002",1)</v>
      </c>
      <c r="D4" s="59"/>
      <c r="E4" s="59"/>
      <c r="F4" s="56" t="inlineStr">
        <is>
          <t>驼色</t>
        </is>
      </c>
      <c r="G4" s="56"/>
      <c r="H4" s="56"/>
      <c r="I4" s="56">
        <v>0</v>
      </c>
      <c r="J4" s="56">
        <v>7</v>
      </c>
      <c r="K4" s="56">
        <v>0</v>
      </c>
      <c r="L4" s="56"/>
      <c r="M4" s="56"/>
      <c r="N4" s="56"/>
      <c r="O4" s="62"/>
      <c r="P4" s="61"/>
    </row>
    <row r="5" ht="85" customHeight="1" spans="1:16">
      <c r="A5" s="61"/>
      <c r="B5" s="59"/>
      <c r="C5" s="59" t="str">
        <f>_xlfn.DISPIMG("ID_00000000000000000000000000000003",1)</f>
        <v>=DISPIMG("ID_00000000000000000000000000000003",1)</v>
      </c>
      <c r="D5" s="59"/>
      <c r="E5" s="59"/>
      <c r="F5" s="56" t="inlineStr">
        <is>
          <t>黑色</t>
        </is>
      </c>
      <c r="G5" s="56"/>
      <c r="H5" s="56"/>
      <c r="I5" s="56">
        <v>30</v>
      </c>
      <c r="J5" s="56">
        <v>44</v>
      </c>
      <c r="K5" s="56">
        <v>35</v>
      </c>
      <c r="L5" s="56"/>
      <c r="M5" s="56"/>
      <c r="N5" s="56"/>
      <c r="O5" s="62"/>
      <c r="P5" s="61"/>
    </row>
    <row r="6" ht="85" customHeight="1" spans="1:16">
      <c r="A6" s="61"/>
      <c r="B6" s="59"/>
      <c r="C6" s="59" t="str">
        <f>_xlfn.DISPIMG("ID_00000000000000000000000000000004",1)</f>
        <v>=DISPIMG("ID_00000000000000000000000000000004",1)</v>
      </c>
      <c r="D6" s="59"/>
      <c r="E6" s="59"/>
      <c r="F6" s="56" t="inlineStr">
        <is>
          <t>深灰</t>
        </is>
      </c>
      <c r="G6" s="56"/>
      <c r="H6" s="56"/>
      <c r="I6" s="56">
        <v>49</v>
      </c>
      <c r="J6" s="56">
        <v>72</v>
      </c>
      <c r="K6" s="56">
        <v>81</v>
      </c>
      <c r="L6" s="56"/>
      <c r="M6" s="56"/>
      <c r="N6" s="56"/>
      <c r="O6" s="62"/>
      <c r="P6" s="61"/>
    </row>
    <row r="7" ht="85" customHeight="1" spans="1:16">
      <c r="A7" s="61"/>
      <c r="B7" s="59"/>
      <c r="C7" s="59" t="str">
        <f>_xlfn.DISPIMG("ID_00000000000000000000000000000005",1)</f>
        <v>=DISPIMG("ID_00000000000000000000000000000005",1)</v>
      </c>
      <c r="D7" s="59"/>
      <c r="E7" s="59"/>
      <c r="F7" s="56" t="inlineStr">
        <is>
          <t>深灰</t>
        </is>
      </c>
      <c r="G7" s="56"/>
      <c r="H7" s="56"/>
      <c r="I7" s="56">
        <v>15</v>
      </c>
      <c r="J7" s="56">
        <v>6</v>
      </c>
      <c r="K7" s="56">
        <v>0</v>
      </c>
      <c r="L7" s="56"/>
      <c r="M7" s="56"/>
      <c r="N7" s="56"/>
      <c r="O7" s="62"/>
      <c r="P7" s="61"/>
    </row>
  </sheetData>
  <mergeCells count="7">
    <mergeCell ref="A1:P1"/>
    <mergeCell ref="A3:A7"/>
    <mergeCell ref="B3:B7"/>
    <mergeCell ref="D3:D7"/>
    <mergeCell ref="E3:E7"/>
    <mergeCell ref="O3:O7"/>
    <mergeCell ref="P3:P7"/>
  </mergeCells>
  <pageMargins left="0.75" right="0.75" top="1" bottom="1" header="0.5" footer="0.5"/>
  <headerFooter/>
</worksheet>
</file>